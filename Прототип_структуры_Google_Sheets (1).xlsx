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Легенда" sheetId="1" state="visible" r:id="rId3"/>
    <sheet name="1_Справочники" sheetId="2" state="visible" r:id="rId4"/>
    <sheet name="2_Сотрудники_ТН" sheetId="3" state="visible" r:id="rId5"/>
    <sheet name="3_Проекты" sheetId="4" state="visible" r:id="rId6"/>
    <sheet name="4_Подрядчики" sheetId="5" state="visible" r:id="rId7"/>
    <sheet name="5_Замечания" sheetId="6" state="visible" r:id="rId8"/>
    <sheet name="6_Инспекции_переработки" sheetId="7" state="visible" r:id="rId9"/>
    <sheet name="7_Доп_нагрузка" sheetId="8" state="visible" r:id="rId10"/>
    <sheet name="8_KPI_ТН" sheetId="9" state="visible" r:id="rId11"/>
    <sheet name="9_Заявки_на_доступ" sheetId="10" state="visible" r:id="rId12"/>
    <sheet name="10_Роли_и_доступ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<sst xmlns="http://schemas.openxmlformats.org/spreadsheetml/2006/main" count="324" uniqueCount="252">
  <si>
    <t xml:space="preserve">Прототип структуры Google Sheets — Модуль Технадзора (ТН)</t>
  </si>
  <si>
    <t xml:space="preserve">Собрано на основе анализа реальных файлов: журнала замечаний СМР, ТЗ на профиль сотрудника, KPI-оценки, расчёта доп. нагрузки, учёта переработок</t>
  </si>
  <si>
    <t xml:space="preserve">Лист</t>
  </si>
  <si>
    <t xml:space="preserve">Назначение</t>
  </si>
  <si>
    <t xml:space="preserve">Связи (ключи)</t>
  </si>
  <si>
    <t xml:space="preserve">1_Справочники</t>
  </si>
  <si>
    <t xml:space="preserve">Все выпадающие списки: должности, города, ТОО, управления, статусы, типы замечаний</t>
  </si>
  <si>
    <t xml:space="preserve">используется во всех листах через выпадающие списки</t>
  </si>
  <si>
    <t xml:space="preserve">2_Сотрудники_ТН</t>
  </si>
  <si>
    <t xml:space="preserve">Карточка сотрудника (профиль ТН) — из ТЗ</t>
  </si>
  <si>
    <t xml:space="preserve">employee_id — первичный ключ</t>
  </si>
  <si>
    <t xml:space="preserve">3_Проекты</t>
  </si>
  <si>
    <t xml:space="preserve">Реестр проектов/ЖК с площадью, ПМ, стадией</t>
  </si>
  <si>
    <t xml:space="preserve">project_id — первичный ключ</t>
  </si>
  <si>
    <t xml:space="preserve">4_Подрядчики</t>
  </si>
  <si>
    <t xml:space="preserve">Реестр контрагентов (ТОО) с БИН и рейтингом</t>
  </si>
  <si>
    <t xml:space="preserve">contractor_id — первичный ключ</t>
  </si>
  <si>
    <t xml:space="preserve">5_Замечания</t>
  </si>
  <si>
    <t xml:space="preserve">Журнал предписаний СМР (ядро системы — как в report.xlsx)</t>
  </si>
  <si>
    <t xml:space="preserve">project_id, contractor_id, employee_id — внешние ключи</t>
  </si>
  <si>
    <t xml:space="preserve">6_Инспекции_переработки</t>
  </si>
  <si>
    <t xml:space="preserve">Акты инспекций для расчёта переработок (как в файле Шымкент)</t>
  </si>
  <si>
    <t xml:space="preserve">employee_id, project_id — внешние ключи</t>
  </si>
  <si>
    <t xml:space="preserve">7_Доп_нагрузка</t>
  </si>
  <si>
    <t xml:space="preserve">Ежемесячный расчёт доп. выплат по площади курируемых объектов</t>
  </si>
  <si>
    <t xml:space="preserve">employee_id — внешний ключ</t>
  </si>
  <si>
    <t xml:space="preserve">8_KPI_ТН</t>
  </si>
  <si>
    <t xml:space="preserve">Ежемесячная оценка эффективности эксперта ТН (KPI+IQC+CRI)</t>
  </si>
  <si>
    <t xml:space="preserve">employee_id — внешний ключ, агрегирует данные из листа 5</t>
  </si>
  <si>
    <t xml:space="preserve">9_Заявки_на_доступ</t>
  </si>
  <si>
    <t xml:space="preserve">Заявки на роль на сайте — супер-админ одобряет</t>
  </si>
  <si>
    <t xml:space="preserve">10_Роли_и_доступ</t>
  </si>
  <si>
    <t xml:space="preserve">Связь сотрудник ↔ управление (многие-ко-многим) — кто к какому управлению имеет доступ и в какой роли</t>
  </si>
  <si>
    <t xml:space="preserve">Как читать цвет ячеек в примерах:</t>
  </si>
  <si>
    <t xml:space="preserve">  Серый фон — пример вводимых данных (что заполняет пользователь).</t>
  </si>
  <si>
    <t xml:space="preserve">  Оранжевый фон — вычисляемое поле (формула, не трогать руками).</t>
  </si>
  <si>
    <t xml:space="preserve">  Синий текст — ссылка на ID из другого листа (внешний ключ).</t>
  </si>
  <si>
    <t xml:space="preserve">Важно про ИИН и др. персональные данные: Google Sheets не шифрует данные at rest.</t>
  </si>
  <si>
    <t xml:space="preserve">Поэтому поле ИИН в этом прототипе — только маскированное представление (****+4 цифры).</t>
  </si>
  <si>
    <t xml:space="preserve">Полный ИИН должен храниться не в Sheets, а в backend/Firestore с шифрованием — это и есть</t>
  </si>
  <si>
    <t xml:space="preserve">причина, по которой в общем плане проекта появляется промежуточный слой (см. раздел 6 плана).</t>
  </si>
  <si>
    <t xml:space="preserve">Управления</t>
  </si>
  <si>
    <t xml:space="preserve">Города</t>
  </si>
  <si>
    <t xml:space="preserve">ТОО (юр.лица)</t>
  </si>
  <si>
    <t xml:space="preserve">Функц. должности</t>
  </si>
  <si>
    <t xml:space="preserve">Статус сотрудника</t>
  </si>
  <si>
    <t xml:space="preserve">Тип замечания</t>
  </si>
  <si>
    <t xml:space="preserve">Статус замечания</t>
  </si>
  <si>
    <t xml:space="preserve">Роль на сайте</t>
  </si>
  <si>
    <t xml:space="preserve">Управление 1 Шымкент</t>
  </si>
  <si>
    <t xml:space="preserve">Алматы</t>
  </si>
  <si>
    <t xml:space="preserve">BI South ТОО</t>
  </si>
  <si>
    <t xml:space="preserve">Эксперт ТН</t>
  </si>
  <si>
    <t xml:space="preserve">Активен</t>
  </si>
  <si>
    <t xml:space="preserve">Простое</t>
  </si>
  <si>
    <t xml:space="preserve">На исполнении</t>
  </si>
  <si>
    <t xml:space="preserve">Админ</t>
  </si>
  <si>
    <t xml:space="preserve">Управление 2 Шымкент</t>
  </si>
  <si>
    <t xml:space="preserve">Шымкент</t>
  </si>
  <si>
    <t xml:space="preserve">Engineering Services ТОО</t>
  </si>
  <si>
    <t xml:space="preserve">Ведущий эксперт ТН</t>
  </si>
  <si>
    <t xml:space="preserve">В отпуске</t>
  </si>
  <si>
    <t xml:space="preserve">Критичное</t>
  </si>
  <si>
    <t xml:space="preserve">Исполненное</t>
  </si>
  <si>
    <t xml:space="preserve">Директор Дивизиона</t>
  </si>
  <si>
    <t xml:space="preserve">Управление B2B Алматы</t>
  </si>
  <si>
    <t xml:space="preserve">Ташкент</t>
  </si>
  <si>
    <t xml:space="preserve">Invecon ТОО</t>
  </si>
  <si>
    <t xml:space="preserve">Руководитель управления ТН</t>
  </si>
  <si>
    <t xml:space="preserve">Уволен</t>
  </si>
  <si>
    <t xml:space="preserve">Остановка</t>
  </si>
  <si>
    <t xml:space="preserve">На ревизии исполнения</t>
  </si>
  <si>
    <t xml:space="preserve">Руководитель Управления</t>
  </si>
  <si>
    <t xml:space="preserve">Управление Восток Алматы</t>
  </si>
  <si>
    <t xml:space="preserve">Руководитель ДИС</t>
  </si>
  <si>
    <t xml:space="preserve">Назначается исполнитель начальником участка</t>
  </si>
  <si>
    <t xml:space="preserve">Руководитель Группы</t>
  </si>
  <si>
    <t xml:space="preserve">Управление Запад Алматы</t>
  </si>
  <si>
    <t xml:space="preserve">HR-специалист</t>
  </si>
  <si>
    <t xml:space="preserve">Наблюдатель</t>
  </si>
  <si>
    <t xml:space="preserve">Управление Центр Алматы</t>
  </si>
  <si>
    <t xml:space="preserve">Администратор системы</t>
  </si>
  <si>
    <t xml:space="preserve">Управление Ташкент Север</t>
  </si>
  <si>
    <t xml:space="preserve">Управление Ташкент Юг</t>
  </si>
  <si>
    <t xml:space="preserve">employee_id</t>
  </si>
  <si>
    <t xml:space="preserve">ФИО</t>
  </si>
  <si>
    <t xml:space="preserve">Функц. должность</t>
  </si>
  <si>
    <t xml:space="preserve">ИИН (маскир.)</t>
  </si>
  <si>
    <t xml:space="preserve">Email</t>
  </si>
  <si>
    <t xml:space="preserve">Корп. телефон</t>
  </si>
  <si>
    <t xml:space="preserve">Личный телефон</t>
  </si>
  <si>
    <t xml:space="preserve">Город</t>
  </si>
  <si>
    <t xml:space="preserve">Дата рождения</t>
  </si>
  <si>
    <t xml:space="preserve">Пол</t>
  </si>
  <si>
    <t xml:space="preserve">Дата приёма</t>
  </si>
  <si>
    <t xml:space="preserve">Стаж (лет)</t>
  </si>
  <si>
    <t xml:space="preserve">ТОО</t>
  </si>
  <si>
    <t xml:space="preserve">Управление</t>
  </si>
  <si>
    <t xml:space="preserve">Статус</t>
  </si>
  <si>
    <t xml:space="preserve">Аттестаты (ссылка PDF)</t>
  </si>
  <si>
    <t xml:space="preserve">Средняя оценка</t>
  </si>
  <si>
    <t xml:space="preserve">EMP-0001</t>
  </si>
  <si>
    <t xml:space="preserve">Иванов Арман Серикович</t>
  </si>
  <si>
    <t xml:space="preserve">****1234</t>
  </si>
  <si>
    <t xml:space="preserve">a.ivanov@company.kz</t>
  </si>
  <si>
    <t xml:space="preserve">+7 700 000 00 01</t>
  </si>
  <si>
    <t xml:space="preserve">1990-05-14</t>
  </si>
  <si>
    <t xml:space="preserve">М</t>
  </si>
  <si>
    <t xml:space="preserve">2023-02-01</t>
  </si>
  <si>
    <t xml:space="preserve">attestats/EMP-0001.pdf</t>
  </si>
  <si>
    <t xml:space="preserve">EMP-0002</t>
  </si>
  <si>
    <t xml:space="preserve">Петрова Айгерим Болатовна</t>
  </si>
  <si>
    <t xml:space="preserve">****5678</t>
  </si>
  <si>
    <t xml:space="preserve">a.petrova@company.kz</t>
  </si>
  <si>
    <t xml:space="preserve">+7 700 000 00 02</t>
  </si>
  <si>
    <t xml:space="preserve">1988-11-02</t>
  </si>
  <si>
    <t xml:space="preserve">Ж</t>
  </si>
  <si>
    <t xml:space="preserve">2021-06-15</t>
  </si>
  <si>
    <t xml:space="preserve">attestats/EMP-0002.pdf</t>
  </si>
  <si>
    <t xml:space="preserve">project_id</t>
  </si>
  <si>
    <t xml:space="preserve">Название ЖК / объекта</t>
  </si>
  <si>
    <t xml:space="preserve">Заказчик</t>
  </si>
  <si>
    <t xml:space="preserve">№ договора</t>
  </si>
  <si>
    <t xml:space="preserve">Площадь, м2</t>
  </si>
  <si>
    <t xml:space="preserve">ПМ (проект-менеджер)</t>
  </si>
  <si>
    <t xml:space="preserve">Фин. менеджер</t>
  </si>
  <si>
    <t xml:space="preserve">Стадия (I-VII)</t>
  </si>
  <si>
    <t xml:space="preserve">Статус проекта</t>
  </si>
  <si>
    <t xml:space="preserve">Система контроля (OperaBuild/DES/PlanRadar)</t>
  </si>
  <si>
    <t xml:space="preserve">PRJ-0001</t>
  </si>
  <si>
    <t xml:space="preserve">Grand Park Vita 1</t>
  </si>
  <si>
    <t xml:space="preserve">SG NS TOO</t>
  </si>
  <si>
    <t xml:space="preserve">Соглашение № SGS/7246</t>
  </si>
  <si>
    <t xml:space="preserve">Салимгереев С.</t>
  </si>
  <si>
    <t xml:space="preserve">Алькенова А.</t>
  </si>
  <si>
    <t xml:space="preserve">VI</t>
  </si>
  <si>
    <t xml:space="preserve">В работе</t>
  </si>
  <si>
    <t xml:space="preserve">OperaBuild</t>
  </si>
  <si>
    <t xml:space="preserve">PRJ-0002</t>
  </si>
  <si>
    <t xml:space="preserve">Arena City Магистральные сети</t>
  </si>
  <si>
    <t xml:space="preserve">ТОО «BI South»</t>
  </si>
  <si>
    <t xml:space="preserve">KZ09REA00529260</t>
  </si>
  <si>
    <t xml:space="preserve">Касанов А.</t>
  </si>
  <si>
    <t xml:space="preserve">—</t>
  </si>
  <si>
    <t xml:space="preserve">V</t>
  </si>
  <si>
    <t xml:space="preserve">contractor_id</t>
  </si>
  <si>
    <t xml:space="preserve">Наименование (ТОО/ИП)</t>
  </si>
  <si>
    <t xml:space="preserve">БИН/ИИН</t>
  </si>
  <si>
    <t xml:space="preserve">Вид работ</t>
  </si>
  <si>
    <t xml:space="preserve">Кол-во проектов (расчёт)</t>
  </si>
  <si>
    <t xml:space="preserve">Остановок всего (расчёт)</t>
  </si>
  <si>
    <t xml:space="preserve">Критичных всего (расчёт)</t>
  </si>
  <si>
    <t xml:space="preserve">Рейтинг (1-5, расчёт)</t>
  </si>
  <si>
    <t xml:space="preserve">CTR-0001</t>
  </si>
  <si>
    <t xml:space="preserve">НУРМЕТАЛЛПЛАСТ-НС ТОО</t>
  </si>
  <si>
    <t xml:space="preserve">131140018748</t>
  </si>
  <si>
    <t xml:space="preserve">Оконные/витражные конструкции</t>
  </si>
  <si>
    <t xml:space="preserve">CTR-0002</t>
  </si>
  <si>
    <t xml:space="preserve">ЖАРЫҚ ШАМДАР АСТАНА ТОО</t>
  </si>
  <si>
    <t xml:space="preserve">131240013681</t>
  </si>
  <si>
    <t xml:space="preserve">Земляные, кладка, монолит, электромонтаж</t>
  </si>
  <si>
    <t xml:space="preserve">violation_id</t>
  </si>
  <si>
    <t xml:space="preserve">Описание (кратко)</t>
  </si>
  <si>
    <t xml:space="preserve">Дата выявления</t>
  </si>
  <si>
    <t xml:space="preserve">Срок исполнения</t>
  </si>
  <si>
    <t xml:space="preserve">Дней до/после срока (расчёт)</t>
  </si>
  <si>
    <t xml:space="preserve">Просрочено? (расчёт)</t>
  </si>
  <si>
    <t xml:space="preserve">PDF файл</t>
  </si>
  <si>
    <t xml:space="preserve">Страница</t>
  </si>
  <si>
    <t xml:space="preserve">Ссылка на фото</t>
  </si>
  <si>
    <t xml:space="preserve">V-000001</t>
  </si>
  <si>
    <t xml:space="preserve">Ранее выданное предписание не устранено, выполнены последующие работы (окна, 4 блок, 10 эт.)</t>
  </si>
  <si>
    <t xml:space="preserve">2026-07-14</t>
  </si>
  <si>
    <t xml:space="preserve">2026-07-20</t>
  </si>
  <si>
    <t xml:space="preserve">Управление_1_Шымкент_2026-07-13_2026-07-19.pdf</t>
  </si>
  <si>
    <t xml:space="preserve">images/v000001_1.jpeg</t>
  </si>
  <si>
    <t xml:space="preserve">V-000002</t>
  </si>
  <si>
    <t xml:space="preserve">Армирование каркаса стен компенсаторного помещения выполнено без рабочего проекта раздела КЖ</t>
  </si>
  <si>
    <t xml:space="preserve">2026-07-17</t>
  </si>
  <si>
    <t xml:space="preserve">2026-07-25</t>
  </si>
  <si>
    <t xml:space="preserve">Управление_Запад_Алматы__К2_ЮГ__2026-07-13_2026-07-19.pdf</t>
  </si>
  <si>
    <t xml:space="preserve">images/v000002_1.jpeg</t>
  </si>
  <si>
    <t xml:space="preserve">inspection_id</t>
  </si>
  <si>
    <t xml:space="preserve">Дата</t>
  </si>
  <si>
    <t xml:space="preserve">Время начала-конца</t>
  </si>
  <si>
    <t xml:space="preserve">Конструктив / объект работ</t>
  </si>
  <si>
    <t xml:space="preserve">Часы (расчёт)</t>
  </si>
  <si>
    <t xml:space="preserve">Ставка за час, тенге</t>
  </si>
  <si>
    <t xml:space="preserve">Ссылка Proofy</t>
  </si>
  <si>
    <t xml:space="preserve">Подтверждено?</t>
  </si>
  <si>
    <t xml:space="preserve">Сумма к оплате (расчёт)</t>
  </si>
  <si>
    <t xml:space="preserve">INS-0001</t>
  </si>
  <si>
    <t xml:space="preserve">2026-06-13</t>
  </si>
  <si>
    <t xml:space="preserve">19:00-22:00</t>
  </si>
  <si>
    <t xml:space="preserve">Армирование плиты перекрытия, блок 6, ось 1/9-A/Г</t>
  </si>
  <si>
    <t xml:space="preserve">https://getproofy.com/i/xxxx</t>
  </si>
  <si>
    <t xml:space="preserve">Да</t>
  </si>
  <si>
    <t xml:space="preserve">INS-0002</t>
  </si>
  <si>
    <t xml:space="preserve">2026-06-28</t>
  </si>
  <si>
    <t xml:space="preserve">10:00-12:00</t>
  </si>
  <si>
    <t xml:space="preserve">Монтаж утепления кровли, блок 7</t>
  </si>
  <si>
    <t xml:space="preserve">https://getproofy.com/i/yyyy</t>
  </si>
  <si>
    <t xml:space="preserve">record_id</t>
  </si>
  <si>
    <t xml:space="preserve">Месяц</t>
  </si>
  <si>
    <t xml:space="preserve">Оклад</t>
  </si>
  <si>
    <t xml:space="preserve">Общая площадь активных проектов, м2</t>
  </si>
  <si>
    <t xml:space="preserve">Площадь по переработке, м2</t>
  </si>
  <si>
    <t xml:space="preserve">Цена за м2, тенге</t>
  </si>
  <si>
    <t xml:space="preserve">Надбавочный %</t>
  </si>
  <si>
    <t xml:space="preserve">Сумма к выплате (расчёт)</t>
  </si>
  <si>
    <t xml:space="preserve">Примечание</t>
  </si>
  <si>
    <t xml:space="preserve">DN-0001</t>
  </si>
  <si>
    <t xml:space="preserve">2026-04</t>
  </si>
  <si>
    <t xml:space="preserve">DN-0002</t>
  </si>
  <si>
    <t xml:space="preserve">2026-05</t>
  </si>
  <si>
    <t xml:space="preserve">Подразделение</t>
  </si>
  <si>
    <t xml:space="preserve">Кол-во проектов</t>
  </si>
  <si>
    <t xml:space="preserve">Факт инспекций</t>
  </si>
  <si>
    <t xml:space="preserve">Простые (расчёт)</t>
  </si>
  <si>
    <t xml:space="preserve">Критич. (расчёт)</t>
  </si>
  <si>
    <t xml:space="preserve">Остановки (расчёт)</t>
  </si>
  <si>
    <t xml:space="preserve">Просроч. (расчёт)</t>
  </si>
  <si>
    <t xml:space="preserve">KPI (0-100)</t>
  </si>
  <si>
    <t xml:space="preserve">IQC (0-100)</t>
  </si>
  <si>
    <t xml:space="preserve">CRI-балл (0-100)</t>
  </si>
  <si>
    <t xml:space="preserve">ИТОГ = 50%KPI+35%IQC+15%CRI (расчёт)</t>
  </si>
  <si>
    <t xml:space="preserve">Ранг</t>
  </si>
  <si>
    <t xml:space="preserve">Категория</t>
  </si>
  <si>
    <t xml:space="preserve">KPI-0001</t>
  </si>
  <si>
    <t xml:space="preserve">2026-06</t>
  </si>
  <si>
    <t xml:space="preserve">Удовлетворительно</t>
  </si>
  <si>
    <t xml:space="preserve">request_id</t>
  </si>
  <si>
    <t xml:space="preserve">Желаемая роль</t>
  </si>
  <si>
    <t xml:space="preserve">Должность (из справочника)</t>
  </si>
  <si>
    <t xml:space="preserve">Статус заявки</t>
  </si>
  <si>
    <t xml:space="preserve">Дата заявки</t>
  </si>
  <si>
    <t xml:space="preserve">Кто одобрил</t>
  </si>
  <si>
    <t xml:space="preserve">Дата решения</t>
  </si>
  <si>
    <t xml:space="preserve">Комментарий</t>
  </si>
  <si>
    <t xml:space="preserve">REQ-0001</t>
  </si>
  <si>
    <t xml:space="preserve">На рассмотрении</t>
  </si>
  <si>
    <t xml:space="preserve">access_id</t>
  </si>
  <si>
    <t xml:space="preserve">Роль</t>
  </si>
  <si>
    <t xml:space="preserve">Группа (если применимо)</t>
  </si>
  <si>
    <t xml:space="preserve">Активен?</t>
  </si>
  <si>
    <t xml:space="preserve">ACC-0001</t>
  </si>
  <si>
    <t xml:space="preserve">ACC-0002</t>
  </si>
  <si>
    <t xml:space="preserve">ACC-0003</t>
  </si>
  <si>
    <t xml:space="preserve">Пояснение: у одного сотрудника может быть несколько строк в этой таблице —</t>
  </si>
  <si>
    <t xml:space="preserve">по одной на каждое управление, к которому у него есть доступ (актуально для роли «Наблюдатель»).</t>
  </si>
  <si>
    <t xml:space="preserve">Для ролей «Руководитель Управления» и «Руководитель Группы» обычно одна строка = одно управление/группа.</t>
  </si>
  <si>
    <t xml:space="preserve">Роль «Админ» и «Директор Дивизиона» — управление можно оставить пустым (доступ ко всем).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</si>
</sst>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C447C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85FA5"/>
      <name val="Arial"/>
      <family val="0"/>
      <charset val="1"/>
    </font>
    <font>
      <i val="true"/>
      <sz val="9"/>
      <color rgb="FF5F5E5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F1EFE8"/>
        <bgColor rgb="FFFAEEDA"/>
      </patternFill>
    </fill>
    <fill>
      <patternFill patternType="solid">
        <fgColor rgb="FFFAEEDA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AEEDA"/>
      <rgbColor rgb="FFF1EFE8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5"/>
    <col collapsed="false" customWidth="true" hidden="false" outlineLevel="0" max="3" min="3" style="1" width="45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23.25" hidden="false" customHeight="true" outlineLevel="0" collapsed="false">
      <c r="A5" s="5" t="s">
        <v>5</v>
      </c>
      <c r="B5" s="5" t="s">
        <v>6</v>
      </c>
      <c r="C5" s="5" t="s">
        <v>7</v>
      </c>
    </row>
    <row r="6" customFormat="false" ht="15" hidden="false" customHeight="true" outlineLevel="0" collapsed="false">
      <c r="A6" s="5" t="s">
        <v>8</v>
      </c>
      <c r="B6" s="5" t="s">
        <v>9</v>
      </c>
      <c r="C6" s="5" t="s">
        <v>10</v>
      </c>
    </row>
    <row r="7" customFormat="false" ht="15" hidden="false" customHeight="true" outlineLevel="0" collapsed="false">
      <c r="A7" s="5" t="s">
        <v>11</v>
      </c>
      <c r="B7" s="5" t="s">
        <v>12</v>
      </c>
      <c r="C7" s="5" t="s">
        <v>13</v>
      </c>
    </row>
    <row r="8" customFormat="false" ht="15" hidden="false" customHeight="true" outlineLevel="0" collapsed="false">
      <c r="A8" s="5" t="s">
        <v>14</v>
      </c>
      <c r="B8" s="5" t="s">
        <v>15</v>
      </c>
      <c r="C8" s="5" t="s">
        <v>16</v>
      </c>
    </row>
    <row r="9" customFormat="false" ht="23.25" hidden="false" customHeight="true" outlineLevel="0" collapsed="false">
      <c r="A9" s="5" t="s">
        <v>17</v>
      </c>
      <c r="B9" s="5" t="s">
        <v>18</v>
      </c>
      <c r="C9" s="5" t="s">
        <v>19</v>
      </c>
    </row>
    <row r="10" customFormat="false" ht="23.25" hidden="false" customHeight="true" outlineLevel="0" collapsed="false">
      <c r="A10" s="5" t="s">
        <v>20</v>
      </c>
      <c r="B10" s="5" t="s">
        <v>21</v>
      </c>
      <c r="C10" s="5" t="s">
        <v>22</v>
      </c>
    </row>
    <row r="11" customFormat="false" ht="23.25" hidden="false" customHeight="true" outlineLevel="0" collapsed="false">
      <c r="A11" s="5" t="s">
        <v>23</v>
      </c>
      <c r="B11" s="5" t="s">
        <v>24</v>
      </c>
      <c r="C11" s="5" t="s">
        <v>25</v>
      </c>
    </row>
    <row r="12" customFormat="false" ht="23.25" hidden="false" customHeight="true" outlineLevel="0" collapsed="false">
      <c r="A12" s="5" t="s">
        <v>26</v>
      </c>
      <c r="B12" s="5" t="s">
        <v>27</v>
      </c>
      <c r="C12" s="5" t="s">
        <v>28</v>
      </c>
    </row>
    <row r="13" customFormat="false" ht="15" hidden="false" customHeight="true" outlineLevel="0" collapsed="false">
      <c r="A13" s="5" t="s">
        <v>29</v>
      </c>
      <c r="B13" s="5" t="s">
        <v>30</v>
      </c>
      <c r="C13" s="5" t="s">
        <v>25</v>
      </c>
    </row>
    <row r="14" customFormat="false" ht="23.85" hidden="false" customHeight="false" outlineLevel="0" collapsed="false">
      <c r="A14" s="5" t="s">
        <v>31</v>
      </c>
      <c r="B14" s="5" t="s">
        <v>32</v>
      </c>
      <c r="C14" s="5" t="s">
        <v>25</v>
      </c>
    </row>
    <row r="15" customFormat="false" ht="15" hidden="false" customHeight="true" outlineLevel="0" collapsed="false">
      <c r="A15" s="6"/>
    </row>
    <row r="16" customFormat="false" ht="15" hidden="false" customHeight="true" outlineLevel="0" collapsed="false">
      <c r="A16" s="3" t="s">
        <v>33</v>
      </c>
    </row>
    <row r="17" customFormat="false" ht="15" hidden="false" customHeight="true" outlineLevel="0" collapsed="false">
      <c r="A17" s="3" t="s">
        <v>34</v>
      </c>
    </row>
    <row r="18" customFormat="false" ht="15" hidden="false" customHeight="true" outlineLevel="0" collapsed="false">
      <c r="A18" s="3" t="s">
        <v>35</v>
      </c>
    </row>
    <row r="19" customFormat="false" ht="15" hidden="false" customHeight="true" outlineLevel="0" collapsed="false">
      <c r="A19" s="3" t="s">
        <v>36</v>
      </c>
    </row>
    <row r="20" customFormat="false" ht="15" hidden="false" customHeight="true" outlineLevel="0" collapsed="false">
      <c r="A20" s="6"/>
    </row>
    <row r="21" customFormat="false" ht="15" hidden="false" customHeight="true" outlineLevel="0" collapsed="false">
      <c r="A21" s="3" t="s">
        <v>37</v>
      </c>
    </row>
    <row r="22" customFormat="false" ht="15" hidden="false" customHeight="true" outlineLevel="0" collapsed="false">
      <c r="A22" s="3" t="s">
        <v>38</v>
      </c>
    </row>
    <row r="23" customFormat="false" ht="15" hidden="false" customHeight="true" outlineLevel="0" collapsed="false">
      <c r="A23" s="3" t="s">
        <v>39</v>
      </c>
    </row>
    <row r="24" customFormat="false" ht="15" hidden="false" customHeight="true" outlineLevel="0" collapsed="false">
      <c r="A24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6"/>
  </cols>
  <sheetData>
    <row r="1" customFormat="false" ht="15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</row>
    <row r="2" customFormat="false" ht="15" hidden="false" customHeight="true" outlineLevel="0" collapsed="false">
      <c r="A2" s="7" t="s">
        <v>49</v>
      </c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  <c r="G2" s="7" t="s">
        <v>55</v>
      </c>
      <c r="H2" s="7" t="s">
        <v>56</v>
      </c>
    </row>
    <row r="3" customFormat="false" ht="15" hidden="false" customHeight="true" outlineLevel="0" collapsed="false">
      <c r="A3" s="7" t="s">
        <v>57</v>
      </c>
      <c r="B3" s="7" t="s">
        <v>58</v>
      </c>
      <c r="C3" s="7" t="s">
        <v>59</v>
      </c>
      <c r="D3" s="7" t="s">
        <v>60</v>
      </c>
      <c r="E3" s="7" t="s">
        <v>61</v>
      </c>
      <c r="F3" s="7" t="s">
        <v>62</v>
      </c>
      <c r="G3" s="7" t="s">
        <v>63</v>
      </c>
      <c r="H3" s="7" t="s">
        <v>64</v>
      </c>
    </row>
    <row r="4" customFormat="false" ht="15" hidden="false" customHeight="true" outlineLevel="0" collapsed="false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71</v>
      </c>
      <c r="H4" s="7" t="s">
        <v>72</v>
      </c>
    </row>
    <row r="5" customFormat="false" ht="15" hidden="false" customHeight="true" outlineLevel="0" collapsed="false">
      <c r="A5" s="7" t="s">
        <v>73</v>
      </c>
      <c r="D5" s="7" t="s">
        <v>74</v>
      </c>
      <c r="G5" s="7" t="s">
        <v>75</v>
      </c>
      <c r="H5" s="7" t="s">
        <v>76</v>
      </c>
    </row>
    <row r="6" customFormat="false" ht="15" hidden="false" customHeight="true" outlineLevel="0" collapsed="false">
      <c r="A6" s="7" t="s">
        <v>77</v>
      </c>
      <c r="D6" s="7" t="s">
        <v>78</v>
      </c>
      <c r="H6" s="8" t="s">
        <v>79</v>
      </c>
    </row>
    <row r="7" customFormat="false" ht="15" hidden="false" customHeight="true" outlineLevel="0" collapsed="false">
      <c r="A7" s="7" t="s">
        <v>80</v>
      </c>
      <c r="D7" s="7" t="s">
        <v>81</v>
      </c>
    </row>
    <row r="8" customFormat="false" ht="15" hidden="false" customHeight="true" outlineLevel="0" collapsed="false">
      <c r="A8" s="7" t="s">
        <v>82</v>
      </c>
    </row>
    <row r="9" customFormat="false" ht="15" hidden="false" customHeight="true" outlineLevel="0" collapsed="false">
      <c r="A9" s="7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6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20"/>
    <col collapsed="false" customWidth="true" hidden="false" outlineLevel="0" max="14" min="14" style="1" width="22"/>
    <col collapsed="false" customWidth="true" hidden="false" outlineLevel="0" max="15" min="15" style="1" width="12"/>
    <col collapsed="false" customWidth="true" hidden="false" outlineLevel="0" max="16" min="16" style="1" width="22"/>
    <col collapsed="false" customWidth="true" hidden="false" outlineLevel="0" max="17" min="17" style="1" width="12"/>
  </cols>
  <sheetData>
    <row r="1" customFormat="false" ht="23.25" hidden="false" customHeight="true" outlineLevel="0" collapsed="false">
      <c r="A1" s="9" t="s">
        <v>84</v>
      </c>
      <c r="B1" s="9" t="s">
        <v>85</v>
      </c>
      <c r="C1" s="9" t="s">
        <v>86</v>
      </c>
      <c r="D1" s="9" t="s">
        <v>87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  <c r="J1" s="9" t="s">
        <v>93</v>
      </c>
      <c r="K1" s="9" t="s">
        <v>94</v>
      </c>
      <c r="L1" s="9" t="s">
        <v>95</v>
      </c>
      <c r="M1" s="9" t="s">
        <v>96</v>
      </c>
      <c r="N1" s="9" t="s">
        <v>97</v>
      </c>
      <c r="O1" s="9" t="s">
        <v>98</v>
      </c>
      <c r="P1" s="9" t="s">
        <v>99</v>
      </c>
      <c r="Q1" s="9" t="s">
        <v>100</v>
      </c>
    </row>
    <row r="2" customFormat="false" ht="15" hidden="false" customHeight="true" outlineLevel="0" collapsed="false">
      <c r="A2" s="10" t="s">
        <v>101</v>
      </c>
      <c r="B2" s="10" t="s">
        <v>102</v>
      </c>
      <c r="C2" s="10" t="s">
        <v>52</v>
      </c>
      <c r="D2" s="10" t="s">
        <v>103</v>
      </c>
      <c r="E2" s="10" t="s">
        <v>104</v>
      </c>
      <c r="F2" s="10" t="s">
        <v>105</v>
      </c>
      <c r="G2" s="10"/>
      <c r="H2" s="10" t="s">
        <v>58</v>
      </c>
      <c r="I2" s="10" t="s">
        <v>106</v>
      </c>
      <c r="J2" s="10" t="s">
        <v>107</v>
      </c>
      <c r="K2" s="10" t="s">
        <v>108</v>
      </c>
      <c r="L2" s="11" t="n">
        <f aca="true">DATEDIF(K2,TODAY(),"y")</f>
        <v>3</v>
      </c>
      <c r="M2" s="10" t="s">
        <v>51</v>
      </c>
      <c r="N2" s="10" t="s">
        <v>49</v>
      </c>
      <c r="O2" s="10" t="s">
        <v>53</v>
      </c>
      <c r="P2" s="10" t="s">
        <v>109</v>
      </c>
      <c r="Q2" s="10" t="n">
        <v>4.2</v>
      </c>
    </row>
    <row r="3" customFormat="false" ht="15" hidden="false" customHeight="true" outlineLevel="0" collapsed="false">
      <c r="A3" s="10" t="s">
        <v>110</v>
      </c>
      <c r="B3" s="10" t="s">
        <v>111</v>
      </c>
      <c r="C3" s="10" t="s">
        <v>60</v>
      </c>
      <c r="D3" s="10" t="s">
        <v>112</v>
      </c>
      <c r="E3" s="10" t="s">
        <v>113</v>
      </c>
      <c r="F3" s="10" t="s">
        <v>114</v>
      </c>
      <c r="G3" s="10"/>
      <c r="H3" s="10" t="s">
        <v>50</v>
      </c>
      <c r="I3" s="10" t="s">
        <v>115</v>
      </c>
      <c r="J3" s="10" t="s">
        <v>116</v>
      </c>
      <c r="K3" s="10" t="s">
        <v>117</v>
      </c>
      <c r="L3" s="11" t="n">
        <f aca="true">DATEDIF(K3,TODAY(),"y")</f>
        <v>5</v>
      </c>
      <c r="M3" s="10" t="s">
        <v>59</v>
      </c>
      <c r="N3" s="10" t="s">
        <v>77</v>
      </c>
      <c r="O3" s="10" t="s">
        <v>61</v>
      </c>
      <c r="P3" s="10" t="s">
        <v>118</v>
      </c>
      <c r="Q3" s="10" t="n">
        <v>3.8</v>
      </c>
    </row>
  </sheetData>
  <dataValidations count="1">
    <dataValidation allowBlank="true" errorStyle="stop" operator="between" showDropDown="false" showErrorMessage="false" showInputMessage="false" sqref="O2:O1000" type="list">
      <formula1>1_Справочники!$E$2:$E$4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5" min="4" style="1" width="22"/>
    <col collapsed="false" customWidth="true" hidden="false" outlineLevel="0" max="7" min="6" style="1" width="12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30"/>
  </cols>
  <sheetData>
    <row r="1" customFormat="false" ht="23.25" hidden="false" customHeight="true" outlineLevel="0" collapsed="false">
      <c r="A1" s="9" t="s">
        <v>119</v>
      </c>
      <c r="B1" s="9" t="s">
        <v>120</v>
      </c>
      <c r="C1" s="9" t="s">
        <v>121</v>
      </c>
      <c r="D1" s="9" t="s">
        <v>122</v>
      </c>
      <c r="E1" s="9" t="s">
        <v>97</v>
      </c>
      <c r="F1" s="9" t="s">
        <v>91</v>
      </c>
      <c r="G1" s="9" t="s">
        <v>123</v>
      </c>
      <c r="H1" s="9" t="s">
        <v>124</v>
      </c>
      <c r="I1" s="9" t="s">
        <v>125</v>
      </c>
      <c r="J1" s="9" t="s">
        <v>126</v>
      </c>
      <c r="K1" s="9" t="s">
        <v>127</v>
      </c>
      <c r="L1" s="9" t="s">
        <v>128</v>
      </c>
    </row>
    <row r="2" customFormat="false" ht="15" hidden="false" customHeight="true" outlineLevel="0" collapsed="false">
      <c r="A2" s="10" t="s">
        <v>129</v>
      </c>
      <c r="B2" s="10" t="s">
        <v>130</v>
      </c>
      <c r="C2" s="10" t="s">
        <v>131</v>
      </c>
      <c r="D2" s="10" t="s">
        <v>132</v>
      </c>
      <c r="E2" s="10" t="s">
        <v>49</v>
      </c>
      <c r="F2" s="10" t="s">
        <v>58</v>
      </c>
      <c r="G2" s="10" t="n">
        <v>45210</v>
      </c>
      <c r="H2" s="10" t="s">
        <v>133</v>
      </c>
      <c r="I2" s="10" t="s">
        <v>134</v>
      </c>
      <c r="J2" s="10" t="s">
        <v>135</v>
      </c>
      <c r="K2" s="10" t="s">
        <v>136</v>
      </c>
      <c r="L2" s="10" t="s">
        <v>137</v>
      </c>
    </row>
    <row r="3" customFormat="false" ht="15" hidden="false" customHeight="true" outlineLevel="0" collapsed="false">
      <c r="A3" s="10" t="s">
        <v>138</v>
      </c>
      <c r="B3" s="10" t="s">
        <v>139</v>
      </c>
      <c r="C3" s="10" t="s">
        <v>140</v>
      </c>
      <c r="D3" s="10" t="s">
        <v>141</v>
      </c>
      <c r="E3" s="10" t="s">
        <v>77</v>
      </c>
      <c r="F3" s="10" t="s">
        <v>50</v>
      </c>
      <c r="G3" s="10" t="n">
        <v>37223</v>
      </c>
      <c r="H3" s="10" t="s">
        <v>142</v>
      </c>
      <c r="I3" s="10" t="s">
        <v>143</v>
      </c>
      <c r="J3" s="10" t="s">
        <v>144</v>
      </c>
      <c r="K3" s="10" t="s">
        <v>136</v>
      </c>
      <c r="L3" s="1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7" min="5" style="1" width="14"/>
    <col collapsed="false" customWidth="true" hidden="false" outlineLevel="0" max="8" min="8" style="1" width="12"/>
  </cols>
  <sheetData>
    <row r="1" customFormat="false" ht="34.5" hidden="false" customHeight="true" outlineLevel="0" collapsed="false">
      <c r="A1" s="9" t="s">
        <v>145</v>
      </c>
      <c r="B1" s="9" t="s">
        <v>146</v>
      </c>
      <c r="C1" s="9" t="s">
        <v>147</v>
      </c>
      <c r="D1" s="9" t="s">
        <v>148</v>
      </c>
      <c r="E1" s="9" t="s">
        <v>149</v>
      </c>
      <c r="F1" s="9" t="s">
        <v>150</v>
      </c>
      <c r="G1" s="9" t="s">
        <v>151</v>
      </c>
      <c r="H1" s="9" t="s">
        <v>152</v>
      </c>
    </row>
    <row r="2" customFormat="false" ht="15" hidden="false" customHeight="true" outlineLevel="0" collapsed="false">
      <c r="A2" s="10" t="s">
        <v>153</v>
      </c>
      <c r="B2" s="10" t="s">
        <v>154</v>
      </c>
      <c r="C2" s="10" t="s">
        <v>155</v>
      </c>
      <c r="D2" s="10" t="s">
        <v>156</v>
      </c>
      <c r="E2" s="11" t="n">
        <f aca="false">COUNTIFS(5_Замечания!$D:$D,A2)</f>
        <v>1</v>
      </c>
      <c r="F2" s="11" t="n">
        <f aca="false">COUNTIFS(5_Замечания!$D:$D,A2,5_Замечания!$B:$B,"Остановка")</f>
        <v>1</v>
      </c>
      <c r="G2" s="11" t="n">
        <f aca="false">COUNTIFS(5_Замечания!$D:$D,A2,5_Замечания!$B:$B,"Критичное")</f>
        <v>0</v>
      </c>
      <c r="H2" s="11" t="n">
        <f aca="false">IF(F2+G2=0,5,IF(F2+G2&gt;=2,1,3))</f>
        <v>3</v>
      </c>
    </row>
    <row r="3" customFormat="false" ht="15" hidden="false" customHeight="true" outlineLevel="0" collapsed="false">
      <c r="A3" s="10" t="s">
        <v>157</v>
      </c>
      <c r="B3" s="10" t="s">
        <v>158</v>
      </c>
      <c r="C3" s="10" t="s">
        <v>159</v>
      </c>
      <c r="D3" s="10" t="s">
        <v>160</v>
      </c>
      <c r="E3" s="11" t="n">
        <f aca="false">COUNTIFS(5_Замечания!$D:$D,A3)</f>
        <v>1</v>
      </c>
      <c r="F3" s="11" t="n">
        <f aca="false">COUNTIFS(5_Замечания!$D:$D,A3,5_Замечания!$B:$B,"Остановка")</f>
        <v>0</v>
      </c>
      <c r="G3" s="11" t="n">
        <f aca="false">COUNTIFS(5_Замечания!$D:$D,A3,5_Замечания!$B:$B,"Критичное")</f>
        <v>1</v>
      </c>
      <c r="H3" s="11" t="n">
        <f aca="false">IF(F3+G3=0,5,IF(F3+G3&gt;=2,1,3))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45"/>
    <col collapsed="false" customWidth="true" hidden="false" outlineLevel="0" max="6" min="6" style="1" width="14"/>
    <col collapsed="false" customWidth="true" hidden="false" outlineLevel="0" max="7" min="7" style="1" width="30"/>
    <col collapsed="false" customWidth="true" hidden="false" outlineLevel="0" max="10" min="8" style="1" width="14"/>
    <col collapsed="false" customWidth="true" hidden="false" outlineLevel="0" max="11" min="11" style="1" width="40"/>
    <col collapsed="false" customWidth="true" hidden="false" outlineLevel="0" max="12" min="12" style="1" width="10"/>
    <col collapsed="false" customWidth="true" hidden="false" outlineLevel="0" max="13" min="13" style="1" width="26"/>
  </cols>
  <sheetData>
    <row r="1" customFormat="false" ht="23.25" hidden="false" customHeight="true" outlineLevel="0" collapsed="false">
      <c r="A1" s="9" t="s">
        <v>161</v>
      </c>
      <c r="B1" s="9" t="s">
        <v>46</v>
      </c>
      <c r="C1" s="9" t="s">
        <v>119</v>
      </c>
      <c r="D1" s="9" t="s">
        <v>145</v>
      </c>
      <c r="E1" s="9" t="s">
        <v>162</v>
      </c>
      <c r="F1" s="9" t="s">
        <v>163</v>
      </c>
      <c r="G1" s="9" t="s">
        <v>47</v>
      </c>
      <c r="H1" s="9" t="s">
        <v>164</v>
      </c>
      <c r="I1" s="9" t="s">
        <v>165</v>
      </c>
      <c r="J1" s="9" t="s">
        <v>166</v>
      </c>
      <c r="K1" s="9" t="s">
        <v>167</v>
      </c>
      <c r="L1" s="9" t="s">
        <v>168</v>
      </c>
      <c r="M1" s="9" t="s">
        <v>169</v>
      </c>
    </row>
    <row r="2" customFormat="false" ht="15" hidden="false" customHeight="true" outlineLevel="0" collapsed="false">
      <c r="A2" s="10" t="s">
        <v>170</v>
      </c>
      <c r="B2" s="10" t="s">
        <v>70</v>
      </c>
      <c r="C2" s="12" t="s">
        <v>129</v>
      </c>
      <c r="D2" s="12" t="s">
        <v>153</v>
      </c>
      <c r="E2" s="10" t="s">
        <v>171</v>
      </c>
      <c r="F2" s="10" t="s">
        <v>172</v>
      </c>
      <c r="G2" s="10" t="s">
        <v>55</v>
      </c>
      <c r="H2" s="10" t="s">
        <v>173</v>
      </c>
      <c r="I2" s="11" t="n">
        <f aca="true">H2-TODAY()</f>
        <v>-1</v>
      </c>
      <c r="J2" s="11" t="str">
        <f aca="true">IF(AND(G2&lt;&gt;"Исполненное",H2&lt;TODAY()),"Да","Нет")</f>
        <v>Нет</v>
      </c>
      <c r="K2" s="10" t="s">
        <v>174</v>
      </c>
      <c r="L2" s="10" t="n">
        <v>64</v>
      </c>
      <c r="M2" s="10" t="s">
        <v>175</v>
      </c>
    </row>
    <row r="3" customFormat="false" ht="15" hidden="false" customHeight="true" outlineLevel="0" collapsed="false">
      <c r="A3" s="10" t="s">
        <v>176</v>
      </c>
      <c r="B3" s="10" t="s">
        <v>62</v>
      </c>
      <c r="C3" s="12" t="s">
        <v>138</v>
      </c>
      <c r="D3" s="12" t="s">
        <v>157</v>
      </c>
      <c r="E3" s="10" t="s">
        <v>177</v>
      </c>
      <c r="F3" s="10" t="s">
        <v>178</v>
      </c>
      <c r="G3" s="10" t="s">
        <v>75</v>
      </c>
      <c r="H3" s="10" t="s">
        <v>179</v>
      </c>
      <c r="I3" s="11" t="n">
        <f aca="true">H3-TODAY()</f>
        <v>4</v>
      </c>
      <c r="J3" s="11" t="str">
        <f aca="true">IF(AND(G3&lt;&gt;"Исполненное",H3&lt;TODAY()),"Да","Нет")</f>
        <v>Нет</v>
      </c>
      <c r="K3" s="10" t="s">
        <v>180</v>
      </c>
      <c r="L3" s="10" t="n">
        <v>77</v>
      </c>
      <c r="M3" s="1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38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26"/>
    <col collapsed="false" customWidth="true" hidden="false" outlineLevel="0" max="10" min="10" style="1" width="12"/>
    <col collapsed="false" customWidth="true" hidden="false" outlineLevel="0" max="11" min="11" style="1" width="16"/>
  </cols>
  <sheetData>
    <row r="1" customFormat="false" ht="23.25" hidden="false" customHeight="true" outlineLevel="0" collapsed="false">
      <c r="A1" s="9" t="s">
        <v>182</v>
      </c>
      <c r="B1" s="9" t="s">
        <v>84</v>
      </c>
      <c r="C1" s="9" t="s">
        <v>183</v>
      </c>
      <c r="D1" s="9" t="s">
        <v>184</v>
      </c>
      <c r="E1" s="9" t="s">
        <v>119</v>
      </c>
      <c r="F1" s="9" t="s">
        <v>185</v>
      </c>
      <c r="G1" s="9" t="s">
        <v>186</v>
      </c>
      <c r="H1" s="9" t="s">
        <v>187</v>
      </c>
      <c r="I1" s="9" t="s">
        <v>188</v>
      </c>
      <c r="J1" s="9" t="s">
        <v>189</v>
      </c>
      <c r="K1" s="9" t="s">
        <v>190</v>
      </c>
    </row>
    <row r="2" customFormat="false" ht="15" hidden="false" customHeight="true" outlineLevel="0" collapsed="false">
      <c r="A2" s="10" t="s">
        <v>191</v>
      </c>
      <c r="B2" s="12" t="s">
        <v>101</v>
      </c>
      <c r="C2" s="10" t="s">
        <v>192</v>
      </c>
      <c r="D2" s="10" t="s">
        <v>193</v>
      </c>
      <c r="E2" s="12" t="s">
        <v>129</v>
      </c>
      <c r="F2" s="10" t="s">
        <v>194</v>
      </c>
      <c r="G2" s="11" t="n">
        <v>3</v>
      </c>
      <c r="H2" s="10" t="n">
        <v>3996.09</v>
      </c>
      <c r="I2" s="10" t="s">
        <v>195</v>
      </c>
      <c r="J2" s="10" t="s">
        <v>196</v>
      </c>
      <c r="K2" s="11" t="n">
        <f aca="false">G2*H2</f>
        <v>11988.27</v>
      </c>
    </row>
    <row r="3" customFormat="false" ht="15" hidden="false" customHeight="true" outlineLevel="0" collapsed="false">
      <c r="A3" s="10" t="s">
        <v>197</v>
      </c>
      <c r="B3" s="12" t="s">
        <v>101</v>
      </c>
      <c r="C3" s="10" t="s">
        <v>198</v>
      </c>
      <c r="D3" s="10" t="s">
        <v>199</v>
      </c>
      <c r="E3" s="12" t="s">
        <v>129</v>
      </c>
      <c r="F3" s="10" t="s">
        <v>200</v>
      </c>
      <c r="G3" s="11" t="n">
        <v>2</v>
      </c>
      <c r="H3" s="10" t="n">
        <v>3996.09</v>
      </c>
      <c r="I3" s="10" t="s">
        <v>201</v>
      </c>
      <c r="J3" s="10" t="s">
        <v>196</v>
      </c>
      <c r="K3" s="11" t="n">
        <f aca="false">G3*H3</f>
        <v>7992.18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22"/>
    <col collapsed="false" customWidth="true" hidden="false" outlineLevel="0" max="8" min="7" style="1" width="14"/>
    <col collapsed="false" customWidth="true" hidden="false" outlineLevel="0" max="9" min="9" style="1" width="18"/>
    <col collapsed="false" customWidth="true" hidden="false" outlineLevel="0" max="10" min="10" style="1" width="22"/>
  </cols>
  <sheetData>
    <row r="1" customFormat="false" ht="23.25" hidden="false" customHeight="true" outlineLevel="0" collapsed="false">
      <c r="A1" s="9" t="s">
        <v>202</v>
      </c>
      <c r="B1" s="9" t="s">
        <v>84</v>
      </c>
      <c r="C1" s="9" t="s">
        <v>203</v>
      </c>
      <c r="D1" s="9" t="s">
        <v>204</v>
      </c>
      <c r="E1" s="9" t="s">
        <v>205</v>
      </c>
      <c r="F1" s="9" t="s">
        <v>206</v>
      </c>
      <c r="G1" s="9" t="s">
        <v>207</v>
      </c>
      <c r="H1" s="9" t="s">
        <v>208</v>
      </c>
      <c r="I1" s="9" t="s">
        <v>209</v>
      </c>
      <c r="J1" s="9" t="s">
        <v>210</v>
      </c>
    </row>
    <row r="2" customFormat="false" ht="15" hidden="false" customHeight="true" outlineLevel="0" collapsed="false">
      <c r="A2" s="10" t="s">
        <v>211</v>
      </c>
      <c r="B2" s="12" t="s">
        <v>110</v>
      </c>
      <c r="C2" s="10" t="s">
        <v>212</v>
      </c>
      <c r="D2" s="10" t="n">
        <v>1100000</v>
      </c>
      <c r="E2" s="10" t="n">
        <v>2786277.43</v>
      </c>
      <c r="F2" s="10" t="n">
        <v>1286277.43</v>
      </c>
      <c r="G2" s="10" t="n">
        <v>0.7333</v>
      </c>
      <c r="H2" s="10" t="n">
        <v>0.33</v>
      </c>
      <c r="I2" s="11" t="n">
        <f aca="false">F2*G2*H2</f>
        <v>311264.98900827</v>
      </c>
      <c r="J2" s="10"/>
    </row>
    <row r="3" customFormat="false" ht="15" hidden="false" customHeight="true" outlineLevel="0" collapsed="false">
      <c r="A3" s="10" t="s">
        <v>213</v>
      </c>
      <c r="B3" s="12" t="s">
        <v>110</v>
      </c>
      <c r="C3" s="10" t="s">
        <v>214</v>
      </c>
      <c r="D3" s="10" t="n">
        <v>1100000</v>
      </c>
      <c r="E3" s="10" t="n">
        <v>2765974.51</v>
      </c>
      <c r="F3" s="10" t="n">
        <v>1265974.51</v>
      </c>
      <c r="G3" s="10" t="n">
        <v>0.7333</v>
      </c>
      <c r="H3" s="10" t="n">
        <v>0.33</v>
      </c>
      <c r="I3" s="11" t="n">
        <f aca="false">F3*G3*H3</f>
        <v>306351.90570039</v>
      </c>
      <c r="J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6" min="5" style="1" width="12"/>
    <col collapsed="false" customWidth="true" hidden="false" outlineLevel="0" max="12" min="7" style="1" width="11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8"/>
    <col collapsed="false" customWidth="true" hidden="false" outlineLevel="0" max="16" min="16" style="1" width="16"/>
  </cols>
  <sheetData>
    <row r="1" customFormat="false" ht="34.5" hidden="false" customHeight="true" outlineLevel="0" collapsed="false">
      <c r="A1" s="9" t="s">
        <v>202</v>
      </c>
      <c r="B1" s="9" t="s">
        <v>84</v>
      </c>
      <c r="C1" s="9" t="s">
        <v>203</v>
      </c>
      <c r="D1" s="9" t="s">
        <v>215</v>
      </c>
      <c r="E1" s="9" t="s">
        <v>216</v>
      </c>
      <c r="F1" s="9" t="s">
        <v>217</v>
      </c>
      <c r="G1" s="9" t="s">
        <v>218</v>
      </c>
      <c r="H1" s="9" t="s">
        <v>219</v>
      </c>
      <c r="I1" s="9" t="s">
        <v>220</v>
      </c>
      <c r="J1" s="9" t="s">
        <v>221</v>
      </c>
      <c r="K1" s="9" t="s">
        <v>222</v>
      </c>
      <c r="L1" s="9" t="s">
        <v>223</v>
      </c>
      <c r="M1" s="9" t="s">
        <v>224</v>
      </c>
      <c r="N1" s="9" t="s">
        <v>225</v>
      </c>
      <c r="O1" s="9" t="s">
        <v>226</v>
      </c>
      <c r="P1" s="9" t="s">
        <v>227</v>
      </c>
    </row>
    <row r="2" customFormat="false" ht="15" hidden="false" customHeight="true" outlineLevel="0" collapsed="false">
      <c r="A2" s="10" t="s">
        <v>228</v>
      </c>
      <c r="B2" s="12" t="s">
        <v>101</v>
      </c>
      <c r="C2" s="10" t="s">
        <v>229</v>
      </c>
      <c r="D2" s="10" t="s">
        <v>49</v>
      </c>
      <c r="E2" s="10" t="n">
        <v>3</v>
      </c>
      <c r="F2" s="10" t="n">
        <v>21</v>
      </c>
      <c r="G2" s="11" t="n">
        <f aca="false">COUNTIFS(5_Замечания!$C:$C,"PRJ-0001",5_Замечания!$B:$B,"Простое")</f>
        <v>0</v>
      </c>
      <c r="H2" s="11" t="n">
        <f aca="false">COUNTIFS(5_Замечания!$C:$C,"PRJ-0001",5_Замечания!$B:$B,"Критичное")</f>
        <v>0</v>
      </c>
      <c r="I2" s="11" t="n">
        <f aca="false">COUNTIFS(5_Замечания!$C:$C,"PRJ-0001",5_Замечания!$B:$B,"Остановка")</f>
        <v>1</v>
      </c>
      <c r="J2" s="11" t="n">
        <f aca="false">COUNTIFS(5_Замечания!$C:$C,"PRJ-0001",5_Замечания!$J:$J,"Да")</f>
        <v>0</v>
      </c>
      <c r="K2" s="10" t="n">
        <v>58.06</v>
      </c>
      <c r="L2" s="10" t="n">
        <v>45.57</v>
      </c>
      <c r="M2" s="10" t="n">
        <v>100</v>
      </c>
      <c r="N2" s="11" t="n">
        <f aca="false">K2*0.5+L2*0.35+M2*0.15</f>
        <v>59.9795</v>
      </c>
      <c r="O2" s="10" t="n">
        <v>10</v>
      </c>
      <c r="P2" s="1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24"/>
  </cols>
  <sheetData>
    <row r="1" customFormat="false" ht="23.25" hidden="false" customHeight="true" outlineLevel="0" collapsed="false">
      <c r="A1" s="9" t="s">
        <v>231</v>
      </c>
      <c r="B1" s="9" t="s">
        <v>84</v>
      </c>
      <c r="C1" s="9" t="s">
        <v>85</v>
      </c>
      <c r="D1" s="9" t="s">
        <v>232</v>
      </c>
      <c r="E1" s="9" t="s">
        <v>233</v>
      </c>
      <c r="F1" s="9" t="s">
        <v>234</v>
      </c>
      <c r="G1" s="9" t="s">
        <v>235</v>
      </c>
      <c r="H1" s="9" t="s">
        <v>236</v>
      </c>
      <c r="I1" s="9" t="s">
        <v>237</v>
      </c>
      <c r="J1" s="9" t="s">
        <v>238</v>
      </c>
    </row>
    <row r="2" customFormat="false" ht="15" hidden="false" customHeight="true" outlineLevel="0" collapsed="false">
      <c r="A2" s="10" t="s">
        <v>239</v>
      </c>
      <c r="B2" s="12" t="s">
        <v>110</v>
      </c>
      <c r="C2" s="10" t="s">
        <v>111</v>
      </c>
      <c r="D2" s="10" t="s">
        <v>76</v>
      </c>
      <c r="E2" s="10" t="s">
        <v>60</v>
      </c>
      <c r="F2" s="10" t="s">
        <v>240</v>
      </c>
      <c r="G2" s="10" t="s">
        <v>173</v>
      </c>
      <c r="H2" s="10"/>
      <c r="I2" s="10"/>
      <c r="J2" s="10"/>
    </row>
  </sheetData>
  <dataValidations count="1">
    <dataValidation allowBlank="true" errorStyle="stop" operator="between" showDropDown="false" showErrorMessage="false" showInputMessage="false" sqref="D2:D1000" type="list">
      <formula1>1_Справочники!$H$2:$H$5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23.85" hidden="false" customHeight="false" outlineLevel="0" collapsed="false">
      <c r="A1" s="9" t="s">
        <v>241</v>
      </c>
      <c r="B1" s="9" t="s">
        <v>84</v>
      </c>
      <c r="C1" s="9" t="s">
        <v>85</v>
      </c>
      <c r="D1" s="9" t="s">
        <v>242</v>
      </c>
      <c r="E1" s="9" t="s">
        <v>97</v>
      </c>
      <c r="F1" s="9" t="s">
        <v>243</v>
      </c>
      <c r="G1" s="9" t="s">
        <v>244</v>
      </c>
    </row>
    <row r="2" customFormat="false" ht="15" hidden="false" customHeight="false" outlineLevel="0" collapsed="false">
      <c r="A2" s="10" t="s">
        <v>245</v>
      </c>
      <c r="B2" s="12" t="s">
        <v>101</v>
      </c>
      <c r="C2" s="10" t="s">
        <v>102</v>
      </c>
      <c r="D2" s="10" t="s">
        <v>72</v>
      </c>
      <c r="E2" s="10" t="s">
        <v>49</v>
      </c>
      <c r="F2" s="10"/>
      <c r="G2" s="10" t="s">
        <v>196</v>
      </c>
    </row>
    <row r="3" customFormat="false" ht="15" hidden="false" customHeight="false" outlineLevel="0" collapsed="false">
      <c r="A3" s="10" t="s">
        <v>246</v>
      </c>
      <c r="B3" s="12" t="s">
        <v>110</v>
      </c>
      <c r="C3" s="10" t="s">
        <v>111</v>
      </c>
      <c r="D3" s="10" t="s">
        <v>79</v>
      </c>
      <c r="E3" s="10" t="s">
        <v>77</v>
      </c>
      <c r="F3" s="10"/>
      <c r="G3" s="10" t="s">
        <v>196</v>
      </c>
    </row>
    <row r="4" customFormat="false" ht="15" hidden="false" customHeight="false" outlineLevel="0" collapsed="false">
      <c r="A4" s="10" t="s">
        <v>247</v>
      </c>
      <c r="B4" s="12" t="s">
        <v>110</v>
      </c>
      <c r="C4" s="10" t="s">
        <v>111</v>
      </c>
      <c r="D4" s="10" t="s">
        <v>79</v>
      </c>
      <c r="E4" s="10" t="s">
        <v>80</v>
      </c>
      <c r="F4" s="10"/>
      <c r="G4" s="10" t="s">
        <v>196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 t="s">
        <v>248</v>
      </c>
    </row>
    <row r="8" customFormat="false" ht="15" hidden="false" customHeight="false" outlineLevel="0" collapsed="false">
      <c r="A8" s="13" t="s">
        <v>249</v>
      </c>
    </row>
    <row r="9" customFormat="false" ht="15" hidden="false" customHeight="false" outlineLevel="0" collapsed="false">
      <c r="A9" s="13" t="s">
        <v>250</v>
      </c>
    </row>
    <row r="10" customFormat="false" ht="15" hidden="false" customHeight="false" outlineLevel="0" collapsed="false">
      <c r="A10" s="13" t="s">
        <v>251</v>
      </c>
    </row>
  </sheetData>
  <dataValidations count="2">
    <dataValidation allowBlank="true" errorStyle="stop" operator="between" showDropDown="false" showErrorMessage="false" showInputMessage="false" sqref="D2:D1000" type="list">
      <formula1>1_Справочники!$H$2:$H$6</formula1>
      <formula2>0</formula2>
    </dataValidation>
    <dataValidation allowBlank="true" errorStyle="stop" operator="between" showDropDown="false" showErrorMessage="false" showInputMessage="false" sqref="E2:E1000" type="list">
      <formula1>1_Справочники!$A$2:$A$9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2026-07-21T04:31:21Z</dcterms:created>
  <dc:creator>openpyxl</dc:creator>
  <dc:description/>
  <dc:language>en-US</dc:language>
  <cp:lastModifiedBy/>
  <dcterms:modified xsi:type="dcterms:W3CDTF">2026-07-21T05:00:47Z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